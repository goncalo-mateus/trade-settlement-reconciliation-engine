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9"/>
  <workbookPr/>
  <xr:revisionPtr revIDLastSave="172" documentId="11_FE4855BF84DCCE436F107A399131F45B7AFB1D1F" xr6:coauthVersionLast="47" xr6:coauthVersionMax="47" xr10:uidLastSave="{D0FCA7C1-5739-41FC-9AB6-3B579BB65AFD}"/>
  <bookViews>
    <workbookView xWindow="240" yWindow="105" windowWidth="14805" windowHeight="8010" activeTab="3" xr2:uid="{00000000-000D-0000-FFFF-FFFF00000000}"/>
  </bookViews>
  <sheets>
    <sheet name="Trades_Internal" sheetId="1" r:id="rId1"/>
    <sheet name="Custodian_Statement" sheetId="2" r:id="rId2"/>
    <sheet name="Reconciliation" sheetId="3" r:id="rId3"/>
    <sheet name="Dashboard" sheetId="4" r:id="rId4"/>
  </sheets>
  <externalReferences>
    <externalReference r:id="rId5"/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E5" i="3"/>
  <c r="D5" i="3"/>
  <c r="D4" i="3"/>
  <c r="C5" i="3"/>
  <c r="B5" i="3"/>
  <c r="B3" i="3"/>
  <c r="E2" i="3"/>
  <c r="E4" i="3"/>
  <c r="C4" i="3"/>
  <c r="C3" i="3"/>
  <c r="B4" i="3"/>
  <c r="D3" i="3"/>
  <c r="E3" i="3" s="1"/>
  <c r="C2" i="3"/>
  <c r="B2" i="3"/>
  <c r="D2" i="3"/>
  <c r="A2" i="3"/>
  <c r="G5" i="1"/>
  <c r="G4" i="1"/>
  <c r="G3" i="1"/>
  <c r="G2" i="1"/>
</calcChain>
</file>

<file path=xl/sharedStrings.xml><?xml version="1.0" encoding="utf-8"?>
<sst xmlns="http://schemas.openxmlformats.org/spreadsheetml/2006/main" count="43" uniqueCount="34">
  <si>
    <t>Trade ID</t>
  </si>
  <si>
    <t>Instrument</t>
  </si>
  <si>
    <t>Trade date</t>
  </si>
  <si>
    <t>Settlement date</t>
  </si>
  <si>
    <t>Quantity</t>
  </si>
  <si>
    <t>Price</t>
  </si>
  <si>
    <t>Total Amount ($)</t>
  </si>
  <si>
    <t>TRD-001</t>
  </si>
  <si>
    <t>Apple Inc (AAPL)</t>
  </si>
  <si>
    <t>TRD-002</t>
  </si>
  <si>
    <t>Shell PLC (SHEL)</t>
  </si>
  <si>
    <t>TRD-003</t>
  </si>
  <si>
    <t>BPN Bond 2028</t>
  </si>
  <si>
    <t>30/09/2026</t>
  </si>
  <si>
    <t>TRD-004</t>
  </si>
  <si>
    <t>Petrobras (PBR)</t>
  </si>
  <si>
    <t>28/09/2026</t>
  </si>
  <si>
    <t>External Ref</t>
  </si>
  <si>
    <t>Received Qty</t>
  </si>
  <si>
    <t>Received Amount</t>
  </si>
  <si>
    <t>Value Date</t>
  </si>
  <si>
    <t>CUST-991</t>
  </si>
  <si>
    <t>CUST-992</t>
  </si>
  <si>
    <t>CUST-993</t>
  </si>
  <si>
    <t>Internal Amount</t>
  </si>
  <si>
    <t>Custodian Amount</t>
  </si>
  <si>
    <t xml:space="preserve">Variance </t>
  </si>
  <si>
    <t>Settlement Status</t>
  </si>
  <si>
    <t>Metric</t>
  </si>
  <si>
    <t>Value</t>
  </si>
  <si>
    <t>Total Trades</t>
  </si>
  <si>
    <t>Settled Trades</t>
  </si>
  <si>
    <t>Breaks / Failures</t>
  </si>
  <si>
    <t>STP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</si>
</sst>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10" fontId="0" fillId="0" borderId="0" xfId="0" applyNumberFormat="1"/>
    <xf numFmtId="16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Settlement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Dashboard!$A$3:$A$4</c:f>
              <c:strCache>
                <c:ptCount val="2"/>
                <c:pt idx="0">
                  <c:v>Settled Trades</c:v>
                </c:pt>
                <c:pt idx="1">
                  <c:v>Breaks / Failures</c:v>
                </c:pt>
              </c:strCache>
            </c:strRef>
          </c:cat>
          <c:val>
            <c:numRef>
              <c:f>Dashboard!$B$3:$B$4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C-4CBB-AB7B-09DC0C967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0184492563429572"/>
          <c:y val="0.86979111986001745"/>
          <c:w val="0.43472922134733161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0</xdr:rowOff>
    </xdr:from>
    <xdr:to>
      <xdr:col>10</xdr:col>
      <xdr:colOff>504825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3D7C60-3FDA-9E49-964B-F3C52F0B1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trato_Custodio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7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ato_Custodio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7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D4" sqref="D4"/>
    </sheetView>
  </sheetViews>
  <sheetFormatPr defaultRowHeight="15"/>
  <cols>
    <col min="1" max="1" width="9.5703125" customWidth="1"/>
    <col min="2" max="2" width="17.85546875" customWidth="1"/>
    <col min="3" max="3" width="12.28515625" customWidth="1"/>
    <col min="4" max="4" width="14.85546875" customWidth="1"/>
    <col min="7" max="7" width="14.57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2">
        <v>46032</v>
      </c>
      <c r="D2" s="2">
        <v>46091</v>
      </c>
      <c r="E2">
        <v>100</v>
      </c>
      <c r="F2">
        <v>225</v>
      </c>
      <c r="G2" s="4">
        <f>E2*F2</f>
        <v>22500</v>
      </c>
    </row>
    <row r="3" spans="1:7">
      <c r="A3" t="s">
        <v>9</v>
      </c>
      <c r="B3" s="1" t="s">
        <v>10</v>
      </c>
      <c r="C3" s="2">
        <v>46032</v>
      </c>
      <c r="D3" s="2">
        <v>46091</v>
      </c>
      <c r="E3">
        <v>500</v>
      </c>
      <c r="F3">
        <v>28</v>
      </c>
      <c r="G3" s="4">
        <f>E3*F3</f>
        <v>14000</v>
      </c>
    </row>
    <row r="4" spans="1:7">
      <c r="A4" t="s">
        <v>11</v>
      </c>
      <c r="B4" s="1" t="s">
        <v>12</v>
      </c>
      <c r="C4" s="1" t="s">
        <v>13</v>
      </c>
      <c r="D4" s="2">
        <v>46063</v>
      </c>
      <c r="E4">
        <v>50</v>
      </c>
      <c r="F4">
        <v>1000</v>
      </c>
      <c r="G4" s="4">
        <f>E4*F4</f>
        <v>50000</v>
      </c>
    </row>
    <row r="5" spans="1:7">
      <c r="A5" t="s">
        <v>14</v>
      </c>
      <c r="B5" s="1" t="s">
        <v>15</v>
      </c>
      <c r="C5" s="1" t="s">
        <v>16</v>
      </c>
      <c r="D5" s="1" t="s">
        <v>13</v>
      </c>
      <c r="E5">
        <v>200</v>
      </c>
      <c r="F5">
        <v>15</v>
      </c>
      <c r="G5" s="4">
        <f>E5*F5</f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CF852-887C-4096-AC49-F5836A00A48F}">
  <dimension ref="A1:E4"/>
  <sheetViews>
    <sheetView workbookViewId="0">
      <selection activeCell="E2" sqref="E2"/>
    </sheetView>
  </sheetViews>
  <sheetFormatPr defaultRowHeight="15"/>
  <cols>
    <col min="1" max="1" width="11.28515625" customWidth="1"/>
    <col min="3" max="3" width="12.42578125" customWidth="1"/>
    <col min="4" max="4" width="16.140625" customWidth="1"/>
    <col min="5" max="5" width="9.5703125" customWidth="1"/>
  </cols>
  <sheetData>
    <row r="1" spans="1:5">
      <c r="A1" t="s">
        <v>17</v>
      </c>
      <c r="B1" t="s">
        <v>0</v>
      </c>
      <c r="C1" t="s">
        <v>18</v>
      </c>
      <c r="D1" t="s">
        <v>19</v>
      </c>
      <c r="E1" t="s">
        <v>20</v>
      </c>
    </row>
    <row r="2" spans="1:5">
      <c r="A2" s="1" t="s">
        <v>21</v>
      </c>
      <c r="B2" s="1" t="s">
        <v>7</v>
      </c>
      <c r="C2">
        <v>100</v>
      </c>
      <c r="D2" s="5">
        <v>22500</v>
      </c>
      <c r="E2" s="2">
        <v>46091</v>
      </c>
    </row>
    <row r="3" spans="1:5">
      <c r="A3" s="1" t="s">
        <v>22</v>
      </c>
      <c r="B3" s="1" t="s">
        <v>9</v>
      </c>
      <c r="C3">
        <v>500</v>
      </c>
      <c r="D3" s="5">
        <v>13800</v>
      </c>
      <c r="E3" s="2">
        <v>46091</v>
      </c>
    </row>
    <row r="4" spans="1:5">
      <c r="A4" s="1" t="s">
        <v>23</v>
      </c>
      <c r="B4" s="1" t="s">
        <v>11</v>
      </c>
      <c r="C4">
        <v>50</v>
      </c>
      <c r="D4" s="5">
        <v>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0B940-E018-474E-BF07-92C2EF9EEDD1}">
  <dimension ref="A1:E5"/>
  <sheetViews>
    <sheetView workbookViewId="0">
      <selection activeCell="C3" sqref="C3"/>
    </sheetView>
  </sheetViews>
  <sheetFormatPr defaultRowHeight="15"/>
  <cols>
    <col min="2" max="2" width="14.42578125" customWidth="1"/>
    <col min="3" max="3" width="17" customWidth="1"/>
    <col min="5" max="5" width="19.28515625" customWidth="1"/>
  </cols>
  <sheetData>
    <row r="1" spans="1:5">
      <c r="A1" t="s">
        <v>0</v>
      </c>
      <c r="B1" t="s">
        <v>24</v>
      </c>
      <c r="C1" t="s">
        <v>25</v>
      </c>
      <c r="D1" t="s">
        <v>26</v>
      </c>
      <c r="E1" t="s">
        <v>27</v>
      </c>
    </row>
    <row r="2" spans="1:5">
      <c r="A2" t="str">
        <f>Trades_Internal!A2</f>
        <v>TRD-001</v>
      </c>
      <c r="B2">
        <f>Trades_Internal!G2</f>
        <v>22500</v>
      </c>
      <c r="C2" s="5">
        <f>SUMIF(Custodian_Statement!B:B, A2, Custodian_Statement!D:D)</f>
        <v>22500</v>
      </c>
      <c r="D2">
        <f>B2-C2</f>
        <v>0</v>
      </c>
      <c r="E2" t="str">
        <f>IF(C2=0, "FAILED_SETTLEMENT", IF(D2=0, "SETTLED", "AMOUNT_MISMATCH"))</f>
        <v>SETTLED</v>
      </c>
    </row>
    <row r="3" spans="1:5">
      <c r="A3" t="s">
        <v>9</v>
      </c>
      <c r="B3">
        <f>Trades_Internal!G3</f>
        <v>14000</v>
      </c>
      <c r="C3" s="5">
        <f>SUMIF(Custodian_Statement!B:B, A3, Custodian_Statement!D:D)</f>
        <v>13800</v>
      </c>
      <c r="D3">
        <f>B3-C3</f>
        <v>200</v>
      </c>
      <c r="E3" t="str">
        <f>IF(C3=0, "FAILED_SETTLEMENT", IF(D3=0, "SETTLED", "AMOUNT_MISMATCH"))</f>
        <v>AMOUNT_MISMATCH</v>
      </c>
    </row>
    <row r="4" spans="1:5">
      <c r="A4" t="s">
        <v>11</v>
      </c>
      <c r="B4">
        <f>Trades_Internal!G4</f>
        <v>50000</v>
      </c>
      <c r="C4" s="5">
        <f>SUMIF(Custodian_Statement!B:B, A4, Custodian_Statement!D:D)</f>
        <v>50000</v>
      </c>
      <c r="D4">
        <f>B4-C4</f>
        <v>0</v>
      </c>
      <c r="E4" t="str">
        <f>IF(C4=0, "FAILED_SETTLEMENT", IF(D4=0, "SETTLED", "AMOUNT_MISMATCH"))</f>
        <v>SETTLED</v>
      </c>
    </row>
    <row r="5" spans="1:5">
      <c r="A5" t="s">
        <v>14</v>
      </c>
      <c r="B5">
        <f>Trades_Internal!G5</f>
        <v>3000</v>
      </c>
      <c r="C5">
        <f>SUMIF(Custodian_Statement!B:B, A5, Custodian_Statement!D:D)</f>
        <v>0</v>
      </c>
      <c r="D5">
        <f>B5-C5</f>
        <v>3000</v>
      </c>
      <c r="E5" t="str">
        <f>IF(C5=0, "FAILED_SETTLEMENT", IF(D5=0, "SETTLED", "AMOUNT_MISMATCH"))</f>
        <v>FAILED_SETTLEMENT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4A5CC-15D4-4F3A-8E93-5378DCA38B6D}">
  <dimension ref="A1:B5"/>
  <sheetViews>
    <sheetView tabSelected="1" workbookViewId="0">
      <selection activeCell="M13" sqref="M13"/>
    </sheetView>
  </sheetViews>
  <sheetFormatPr defaultRowHeight="15"/>
  <cols>
    <col min="1" max="1" width="16.28515625" customWidth="1"/>
  </cols>
  <sheetData>
    <row r="1" spans="1:2">
      <c r="A1" t="s">
        <v>28</v>
      </c>
      <c r="B1" t="s">
        <v>29</v>
      </c>
    </row>
    <row r="2" spans="1:2">
      <c r="A2" t="s">
        <v>30</v>
      </c>
      <c r="B2">
        <f>COUNTA(Reconciliation!A2:A5)</f>
        <v>4</v>
      </c>
    </row>
    <row r="3" spans="1:2">
      <c r="A3" s="1" t="s">
        <v>31</v>
      </c>
      <c r="B3">
        <f>COUNTIF(Reconciliation!E2:E5, "SETTLED")</f>
        <v>2</v>
      </c>
    </row>
    <row r="4" spans="1:2">
      <c r="A4" s="1" t="s">
        <v>32</v>
      </c>
      <c r="B4">
        <f>COUNTIF(Reconciliation!E2:E5, "&lt;&gt;SETTLED")</f>
        <v>2</v>
      </c>
    </row>
    <row r="5" spans="1:2">
      <c r="A5" s="1" t="s">
        <v>33</v>
      </c>
      <c r="B5" s="3">
        <f>B3/B2</f>
        <v>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GONCALO FILIPE RODRIGUES MATEUS</cp:lastModifiedBy>
  <cp:revision/>
  <dcterms:created xsi:type="dcterms:W3CDTF">2026-10-01T20:51:06Z</dcterms:created>
  <dcterms:modified xsi:type="dcterms:W3CDTF">2026-10-01T21:37:45Z</dcterms:modified>
  <cp:category/>
  <cp:contentStatus/>
</cp:coreProperties>
</file>